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Response times" sheetId="2" state="visible" r:id="rId2"/>
    <sheet name="Health check" sheetId="3" state="visible" r:id="rId3"/>
    <sheet name="Scope and limits" sheetId="4" state="visible" r:id="rId4"/>
  </sheets>
  <definedNames>
    <definedName name="_xlnm._FilterDatabase" localSheetId="0" hidden="1">'Board summary'!$B$14:$G$20</definedName>
    <definedName name="_xlnm.Print_Titles" localSheetId="0">'Board summary'!$1:$4</definedName>
    <definedName name="_xlnm.Print_Area" localSheetId="0">'Board summary'!$A$1:$G$22</definedName>
    <definedName name="_xlnm._FilterDatabase" localSheetId="1" hidden="1">'Response times'!$A$4:$L$16</definedName>
    <definedName name="_xlnm.Print_Titles" localSheetId="1">'Response times'!$1:$4</definedName>
    <definedName name="_xlnm.Print_Area" localSheetId="1">'Response times'!$A$1:$L$23</definedName>
    <definedName name="_xlnm.Print_Titles" localSheetId="2">'Health check'!$1:$4</definedName>
    <definedName name="_xlnm.Print_Area" localSheetId="2">'Health check'!$A$1:$F$17</definedName>
    <definedName name="_xlnm.Print_Titles" localSheetId="3">'Scope and limits'!$1:$4</definedName>
    <definedName name="_xlnm.Print_Area" localSheetId="3">'Scope and limits'!$A$1:$D$13</definedName>
  </definedNames>
  <calcPr calcId="124519" fullCalcOnLoad="1"/>
</workbook>
</file>

<file path=xl/styles.xml><?xml version="1.0" encoding="utf-8"?>
<styleSheet xmlns="http://schemas.openxmlformats.org/spreadsheetml/2006/main">
  <numFmts count="2">
    <numFmt numFmtId="164" formatCode="0.000&quot; s&quot;"/>
    <numFmt numFmtId="165" formatCode="#,##0.0"/>
  </numFmts>
  <fonts count="9">
    <font>
      <name val="Calibri"/>
      <family val="2"/>
      <color theme="1"/>
      <sz val="11"/>
      <scheme val="minor"/>
    </font>
    <font>
      <name val="Calibri"/>
      <b val="1"/>
      <color rgb="000F6E6B"/>
      <sz val="12"/>
    </font>
    <font>
      <name val="Calibri"/>
      <b val="1"/>
      <color rgb="001B3A4B"/>
      <sz val="20"/>
    </font>
    <font>
      <name val="Calibri"/>
      <color rgb="001F2933"/>
      <sz val="11"/>
    </font>
    <font>
      <name val="Calibri"/>
      <b val="1"/>
      <color rgb="00FFFFFF"/>
      <sz val="11"/>
    </font>
    <font>
      <name val="Calibri"/>
      <b val="1"/>
      <color rgb="001F2933"/>
      <sz val="11"/>
    </font>
    <font>
      <name val="Calibri"/>
      <b val="1"/>
      <color rgb="001B3A4B"/>
      <sz val="14"/>
    </font>
    <font>
      <name val="Calibri"/>
      <b val="1"/>
      <color rgb="000F6E56"/>
      <sz val="11"/>
    </font>
    <font>
      <name val="Calibri"/>
      <i val="1"/>
      <color rgb="0052606D"/>
      <sz val="10"/>
    </font>
  </fonts>
  <fills count="8">
    <fill>
      <patternFill/>
    </fill>
    <fill>
      <patternFill patternType="gray125"/>
    </fill>
    <fill>
      <patternFill patternType="solid">
        <fgColor rgb="001B3A4B"/>
      </patternFill>
    </fill>
    <fill>
      <patternFill patternType="solid">
        <fgColor rgb="00FFFFFF"/>
      </patternFill>
    </fill>
    <fill>
      <patternFill patternType="solid">
        <fgColor rgb="00F4F1EA"/>
      </patternFill>
    </fill>
    <fill>
      <patternFill patternType="solid">
        <fgColor rgb="00E5F6EF"/>
      </patternFill>
    </fill>
    <fill>
      <patternFill patternType="solid">
        <fgColor rgb="00FFF4E5"/>
      </patternFill>
    </fill>
    <fill>
      <patternFill patternType="solid">
        <fgColor rgb="00FDECEC"/>
      </patternFill>
    </fill>
  </fills>
  <borders count="2">
    <border>
      <left/>
      <right/>
      <top/>
      <bottom/>
      <diagonal/>
    </border>
    <border>
      <left style="thin">
        <color rgb="00E4E7EB"/>
      </left>
      <right style="thin">
        <color rgb="00E4E7EB"/>
      </right>
      <top style="thin">
        <color rgb="00E4E7EB"/>
      </top>
      <bottom style="thin">
        <color rgb="00E4E7E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3" borderId="1" applyAlignment="1" pivotButton="0" quotePrefix="0" xfId="0">
      <alignment vertical="center" wrapText="1"/>
    </xf>
    <xf numFmtId="0" fontId="3" fillId="3" borderId="1" applyAlignment="1" pivotButton="0" quotePrefix="0" xfId="0">
      <alignment vertical="center" wrapText="1"/>
    </xf>
    <xf numFmtId="0" fontId="0" fillId="3" borderId="1" applyAlignment="1" pivotButton="0" quotePrefix="0" xfId="0">
      <alignment vertical="center" wrapText="1"/>
    </xf>
    <xf numFmtId="0" fontId="5" fillId="4" borderId="1" applyAlignment="1" pivotButton="0" quotePrefix="0" xfId="0">
      <alignment vertical="center" wrapText="1"/>
    </xf>
    <xf numFmtId="0" fontId="3" fillId="4" borderId="1" applyAlignment="1" pivotButton="0" quotePrefix="0" xfId="0">
      <alignment vertical="center" wrapText="1"/>
    </xf>
    <xf numFmtId="0" fontId="0" fillId="4" borderId="1" applyAlignment="1" pivotButton="0" quotePrefix="0" xfId="0">
      <alignment vertical="center" wrapText="1"/>
    </xf>
    <xf numFmtId="0" fontId="6" fillId="0" borderId="0" pivotButton="0" quotePrefix="0" xfId="0"/>
    <xf numFmtId="0" fontId="3" fillId="5" borderId="1" applyAlignment="1" pivotButton="0" quotePrefix="0" xfId="0">
      <alignment vertical="center" wrapText="1"/>
    </xf>
    <xf numFmtId="164" fontId="3" fillId="5" borderId="1" applyAlignment="1" pivotButton="0" quotePrefix="0" xfId="0">
      <alignment vertical="center" wrapText="1"/>
    </xf>
    <xf numFmtId="9" fontId="7" fillId="5" borderId="1" applyAlignment="1" pivotButton="0" quotePrefix="0" xfId="0">
      <alignment vertical="center" wrapText="1"/>
    </xf>
    <xf numFmtId="0" fontId="8" fillId="0" borderId="0" applyAlignment="1" pivotButton="0" quotePrefix="0" xfId="0">
      <alignment vertical="center" wrapText="1"/>
    </xf>
    <xf numFmtId="165" fontId="3" fillId="3" borderId="1" applyAlignment="1" pivotButton="0" quotePrefix="0" xfId="0">
      <alignment vertical="center" wrapText="1"/>
    </xf>
    <xf numFmtId="9" fontId="7" fillId="3" borderId="1" applyAlignment="1" pivotButton="0" quotePrefix="0" xfId="0">
      <alignment vertical="center" wrapText="1"/>
    </xf>
    <xf numFmtId="0" fontId="3" fillId="6" borderId="1" applyAlignment="1" pivotButton="0" quotePrefix="0" xfId="0">
      <alignment vertical="center" wrapText="1"/>
    </xf>
    <xf numFmtId="165" fontId="3" fillId="6" borderId="1" applyAlignment="1" pivotButton="0" quotePrefix="0" xfId="0">
      <alignment vertical="center" wrapText="1"/>
    </xf>
    <xf numFmtId="9" fontId="7" fillId="6" borderId="1" applyAlignment="1" pivotButton="0" quotePrefix="0" xfId="0">
      <alignment vertical="center" wrapText="1"/>
    </xf>
    <xf numFmtId="3" fontId="3" fillId="5" borderId="1" applyAlignment="1" pivotButton="0" quotePrefix="0" xfId="0">
      <alignment vertical="center" wrapText="1"/>
    </xf>
    <xf numFmtId="165" fontId="3" fillId="5" borderId="1" applyAlignment="1" pivotButton="0" quotePrefix="0" xfId="0">
      <alignment vertical="center" wrapText="1"/>
    </xf>
    <xf numFmtId="0" fontId="3" fillId="7" borderId="1" applyAlignment="1" pivotButton="0" quotePrefix="0" xfId="0">
      <alignment vertical="center" wrapText="1"/>
    </xf>
    <xf numFmtId="3" fontId="3" fillId="7" borderId="1" applyAlignment="1" pivotButton="0" quotePrefix="0" xfId="0">
      <alignment vertical="center" wrapText="1"/>
    </xf>
    <xf numFmtId="0" fontId="8" fillId="0" borderId="0"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Milliseconds: empty cache vs Redis</a:t>
            </a:r>
          </a:p>
        </rich>
      </tx>
    </title>
    <plotArea>
      <barChart>
        <barDir val="col"/>
        <grouping val="clustered"/>
        <ser>
          <idx val="0"/>
          <order val="0"/>
          <tx>
            <strRef>
              <f>'Response times'!G4</f>
            </strRef>
          </tx>
          <spPr>
            <a:ln>
              <a:prstDash val="solid"/>
            </a:ln>
          </spPr>
          <cat>
            <numRef>
              <f>'Response times'!$A$5:$A$16</f>
            </numRef>
          </cat>
          <val>
            <numRef>
              <f>'Response times'!$G$5:$G$16</f>
            </numRef>
          </val>
        </ser>
        <ser>
          <idx val="1"/>
          <order val="1"/>
          <tx>
            <strRef>
              <f>'Response times'!H4</f>
            </strRef>
          </tx>
          <spPr>
            <a:ln>
              <a:prstDash val="solid"/>
            </a:ln>
          </spPr>
          <cat>
            <numRef>
              <f>'Response times'!$A$5:$A$16</f>
            </numRef>
          </cat>
          <val>
            <numRef>
              <f>'Response times'!$H$5:$H$16</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title>
          <tx>
            <rich>
              <a:bodyPr/>
              <a:p>
                <a:pPr>
                  <a:defRPr/>
                </a:pPr>
                <a:r>
                  <a:t>Milliseconds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24</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B3A4B"/>
    <outlinePr summaryBelow="1" summaryRight="1"/>
    <pageSetUpPr fitToPage="1"/>
  </sheetPr>
  <dimension ref="A2:G22"/>
  <sheetViews>
    <sheetView showGridLines="0" zoomScale="110" workbookViewId="0">
      <pane xSplit="1" ySplit="14" topLeftCell="B1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52" customWidth="1" min="3" max="3"/>
    <col width="24" customWidth="1" min="4" max="4"/>
    <col width="18" customWidth="1" min="5" max="5"/>
    <col width="14" customWidth="1" min="6" max="6"/>
    <col width="62" customWidth="1" min="7" max="7"/>
  </cols>
  <sheetData>
    <row r="2">
      <c r="B2" s="1" t="inlineStr">
        <is>
          <t>Taatom production API</t>
        </is>
      </c>
    </row>
    <row r="3" ht="28" customHeight="1">
      <c r="B3" s="2" t="inlineStr">
        <is>
          <t>Redis cache — before and after</t>
        </is>
      </c>
    </row>
    <row r="4" ht="32" customHeight="1">
      <c r="B4" s="3" t="inlineStr">
        <is>
          <t>Measured on the production server, 11 October 2026. Times are how long the API itself took. They do not include the phone network.</t>
        </is>
      </c>
    </row>
    <row r="6">
      <c r="A6" s="4" t="n"/>
      <c r="B6" s="4" t="inlineStr">
        <is>
          <t>Item</t>
        </is>
      </c>
      <c r="C6" s="4" t="inlineStr">
        <is>
          <t>Detail</t>
        </is>
      </c>
      <c r="D6" s="4" t="n"/>
      <c r="E6" s="4" t="n"/>
      <c r="F6" s="4" t="n"/>
      <c r="G6" s="4" t="n"/>
    </row>
    <row r="7" ht="36" customHeight="1">
      <c r="B7" s="5" t="inlineStr">
        <is>
          <t>What changed</t>
        </is>
      </c>
      <c r="C7" s="6" t="inlineStr">
        <is>
          <t>Redis now runs beside the API in Docker, on a private network. Port 6379 is not open to the internet. The password is stored only in the server environment file.</t>
        </is>
      </c>
      <c r="D7" s="7" t="n"/>
      <c r="E7" s="7" t="n"/>
      <c r="F7" s="7" t="n"/>
      <c r="G7" s="7" t="n"/>
    </row>
    <row r="8" ht="36" customHeight="1">
      <c r="B8" s="8" t="inlineStr">
        <is>
          <t>Why it was slow</t>
        </is>
      </c>
      <c r="C8" s="9" t="inlineStr">
        <is>
          <t>Shorts, the locale menu, search, and the home feed asked the database again on every open. Repeating the same request did not get faster.</t>
        </is>
      </c>
      <c r="D8" s="10" t="n"/>
      <c r="E8" s="10" t="n"/>
      <c r="F8" s="10" t="n"/>
      <c r="G8" s="10" t="n"/>
    </row>
    <row r="9" ht="36" customHeight="1">
      <c r="B9" s="5" t="inlineStr">
        <is>
          <t>What is cached</t>
        </is>
      </c>
      <c r="C9" s="6" t="inlineStr">
        <is>
          <t>Locale lists and filters, one locale card, the shared shorts candidate list, signed media URLs, the home photo feed, and post search. A viewer’s own likes and blocks are still applied after the cache.</t>
        </is>
      </c>
      <c r="D9" s="7" t="n"/>
      <c r="E9" s="7" t="n"/>
      <c r="F9" s="7" t="n"/>
      <c r="G9" s="7" t="n"/>
    </row>
    <row r="10" ht="36" customHeight="1">
      <c r="B10" s="8" t="inlineStr">
        <is>
          <t>Health gate</t>
        </is>
      </c>
      <c r="C10" s="9" t="inlineStr">
        <is>
          <t>A deploy is healthy only when /health returns 200 and /health/detailed reports Redis as healthy. If Redis is down, the deploy rolls back.</t>
        </is>
      </c>
      <c r="D10" s="10" t="n"/>
      <c r="E10" s="10" t="n"/>
      <c r="F10" s="10" t="n"/>
      <c r="G10" s="10" t="n"/>
    </row>
    <row r="11" ht="36" customHeight="1">
      <c r="B11" s="5" t="inlineStr">
        <is>
          <t>Live check today</t>
        </is>
      </c>
      <c r="C11" s="6" t="inlineStr">
        <is>
          <t>After the patch, /health/detailed returned success. Redis status: healthy. Redis ping: 2 ms. Readiness: 200.</t>
        </is>
      </c>
      <c r="D11" s="7" t="n"/>
      <c r="E11" s="7" t="n"/>
      <c r="F11" s="7" t="n"/>
      <c r="G11" s="7" t="n"/>
    </row>
    <row r="13">
      <c r="B13" s="11" t="inlineStr">
        <is>
          <t>Headline result — the request a person repeats</t>
        </is>
      </c>
    </row>
    <row r="14" ht="32" customHeight="1">
      <c r="A14" s="4" t="n"/>
      <c r="B14" s="4" t="inlineStr">
        <is>
          <t>Screen</t>
        </is>
      </c>
      <c r="C14" s="4" t="inlineStr">
        <is>
          <t>API</t>
        </is>
      </c>
      <c r="D14" s="4" t="inlineStr">
        <is>
          <t>Before Redis
(repeat still slow)</t>
        </is>
      </c>
      <c r="E14" s="4" t="inlineStr">
        <is>
          <t>With Redis
(next request)</t>
        </is>
      </c>
      <c r="F14" s="4" t="inlineStr">
        <is>
          <t>Time saved</t>
        </is>
      </c>
      <c r="G14" s="4" t="inlineStr">
        <is>
          <t>What the board should take from this</t>
        </is>
      </c>
    </row>
    <row r="15" ht="32" customHeight="1">
      <c r="B15" s="12" t="inlineStr">
        <is>
          <t>Locale menu</t>
        </is>
      </c>
      <c r="C15" s="12" t="inlineStr">
        <is>
          <t>GET /api/v1/locales?limit=20</t>
        </is>
      </c>
      <c r="D15" s="13" t="n">
        <v>0.441</v>
      </c>
      <c r="E15" s="13" t="n">
        <v>0.021</v>
      </c>
      <c r="F15" s="14" t="n">
        <v>0.9523809523809523</v>
      </c>
      <c r="G15" s="12" t="inlineStr">
        <is>
          <t>The locale list no longer rebuilds from the database on every open.</t>
        </is>
      </c>
    </row>
    <row r="16" ht="32" customHeight="1">
      <c r="B16" s="12" t="inlineStr">
        <is>
          <t>Locale countries</t>
        </is>
      </c>
      <c r="C16" s="12" t="inlineStr">
        <is>
          <t>GET /api/v1/locales/countries</t>
        </is>
      </c>
      <c r="D16" s="13" t="n">
        <v>0.206</v>
      </c>
      <c r="E16" s="13" t="n">
        <v>0.021</v>
      </c>
      <c r="F16" s="14" t="n">
        <v>0.8980582524271845</v>
      </c>
      <c r="G16" s="12" t="inlineStr">
        <is>
          <t>The country list is served from cache for 30 minutes.</t>
        </is>
      </c>
    </row>
    <row r="17" ht="32" customHeight="1">
      <c r="B17" s="12" t="inlineStr">
        <is>
          <t>Shorts, 5 videos</t>
        </is>
      </c>
      <c r="C17" s="12" t="inlineStr">
        <is>
          <t>GET /api/v1/shorts?limit=5</t>
        </is>
      </c>
      <c r="D17" s="13" t="n">
        <v>1.627</v>
      </c>
      <c r="E17" s="13" t="n">
        <v>0.211</v>
      </c>
      <c r="F17" s="14" t="n">
        <v>0.8703134603564844</v>
      </c>
      <c r="G17" s="12" t="inlineStr">
        <is>
          <t>The heavy candidate query is shared. The feed is still scored for each viewer, so it is not instant.</t>
        </is>
      </c>
    </row>
    <row r="18" ht="32" customHeight="1">
      <c r="B18" s="12" t="inlineStr">
        <is>
          <t>Shorts, first page</t>
        </is>
      </c>
      <c r="C18" s="12" t="inlineStr">
        <is>
          <t>GET /api/v1/shorts?limit=10</t>
        </is>
      </c>
      <c r="D18" s="13" t="n">
        <v>1.162</v>
      </c>
      <c r="E18" s="13" t="n">
        <v>0.221</v>
      </c>
      <c r="F18" s="14" t="n">
        <v>0.8098106712564543</v>
      </c>
      <c r="G18" s="12" t="inlineStr">
        <is>
          <t>Same pattern. First open still does the work. The next open inside 60 seconds uses the cache.</t>
        </is>
      </c>
    </row>
    <row r="19" ht="32" customHeight="1">
      <c r="B19" s="12" t="inlineStr">
        <is>
          <t>Home photo feed</t>
        </is>
      </c>
      <c r="C19" s="12" t="inlineStr">
        <is>
          <t>GET /api/v1/posts?page=1&amp;limit=20</t>
        </is>
      </c>
      <c r="D19" s="13" t="n">
        <v>0.907</v>
      </c>
      <c r="E19" s="13" t="n">
        <v>0.018</v>
      </c>
      <c r="F19" s="14" t="n">
        <v>0.980154355016538</v>
      </c>
      <c r="G19" s="12" t="inlineStr">
        <is>
          <t>The clearest win. A repeat of the first home page dropped from about 0.9 s to 18 ms.</t>
        </is>
      </c>
    </row>
    <row r="20" ht="32" customHeight="1">
      <c r="B20" s="12" t="inlineStr">
        <is>
          <t>Search</t>
        </is>
      </c>
      <c r="C20" s="12" t="inlineStr">
        <is>
          <t>GET /api/v1/search/posts?query=beach&amp;limit=10</t>
        </is>
      </c>
      <c r="D20" s="13" t="n">
        <v>0.418</v>
      </c>
      <c r="E20" s="13" t="n">
        <v>0.016</v>
      </c>
      <c r="F20" s="14" t="n">
        <v>0.9617224880382775</v>
      </c>
      <c r="G20" s="12" t="inlineStr">
        <is>
          <t>The same search text is reused from cache for 5 minutes.</t>
        </is>
      </c>
    </row>
    <row r="22" ht="32" customHeight="1">
      <c r="B22" s="15" t="inlineStr">
        <is>
          <t>Before Redis, a second identical call stayed slow. The “before” column is the average of those repeats where we had them, otherwise the first uncached call. The “with Redis” column is the next identical call, served from cache. Full samples are on the Response times sheet.</t>
        </is>
      </c>
    </row>
  </sheetData>
  <autoFilter ref="B14:G20"/>
  <mergeCells count="12">
    <mergeCell ref="B3:G3"/>
    <mergeCell ref="B2:G2"/>
    <mergeCell ref="A6"/>
    <mergeCell ref="C7:G7"/>
    <mergeCell ref="B22:G22"/>
    <mergeCell ref="C6:G6"/>
    <mergeCell ref="C10:G10"/>
    <mergeCell ref="C11:G11"/>
    <mergeCell ref="B4:G4"/>
    <mergeCell ref="B13:G13"/>
    <mergeCell ref="C8:G8"/>
    <mergeCell ref="C9:G9"/>
  </mergeCells>
  <pageMargins left="0.5" right="0.5" top="0.7" bottom="0.6" header="0.3" footer="0.3"/>
  <pageSetup orientation="landscape" paperSize="9" fitToHeight="1" fitToWidth="1"/>
  <headerFooter>
    <oddHeader>&amp;LTaatom  |  Redis performance&amp;C</oddHeader>
    <oddFooter>&amp;L11 October 2026  |  Production API  |  Server-side timings&amp;RPage &amp;P</oddFooter>
    <evenHeader/>
    <evenFooter/>
    <firstHeader/>
    <firstFooter/>
  </headerFooter>
</worksheet>
</file>

<file path=xl/worksheets/sheet2.xml><?xml version="1.0" encoding="utf-8"?>
<worksheet xmlns="http://schemas.openxmlformats.org/spreadsheetml/2006/main">
  <sheetPr>
    <tabColor rgb="000F6E6B"/>
    <outlinePr summaryBelow="1" summaryRight="1"/>
    <pageSetUpPr fitToPage="1"/>
  </sheetPr>
  <dimension ref="A1:L22"/>
  <sheetViews>
    <sheetView showGridLines="0" zoomScale="110" workbookViewId="0">
      <pane ySplit="4" topLeftCell="A5" activePane="bottomLeft" state="frozen"/>
      <selection pane="bottomLeft" activeCell="A1" sqref="A1"/>
    </sheetView>
  </sheetViews>
  <sheetFormatPr baseColWidth="8" defaultRowHeight="15"/>
  <cols>
    <col width="22" customWidth="1" min="1" max="1"/>
    <col width="12" customWidth="1" min="2" max="2"/>
    <col width="52" customWidth="1" min="3" max="3"/>
    <col width="28" customWidth="1" min="4" max="4"/>
    <col width="22" customWidth="1" min="5" max="5"/>
    <col width="20" customWidth="1" min="6" max="6"/>
    <col width="24" customWidth="1" min="7" max="7"/>
    <col width="24" customWidth="1" min="8" max="8"/>
    <col width="16" customWidth="1" min="9" max="9"/>
    <col width="10" customWidth="1" min="10" max="10"/>
    <col width="16" customWidth="1" min="11" max="11"/>
    <col width="62" customWidth="1" min="12" max="12"/>
  </cols>
  <sheetData>
    <row r="1">
      <c r="A1" s="2" t="inlineStr">
        <is>
          <t>Every timed call, production API, 11 October 2026</t>
        </is>
      </c>
    </row>
    <row r="2" ht="32" customHeight="1">
      <c r="A2" s="15" t="inlineStr">
        <is>
          <t>Cold = cache empty, so the API did the database work. Warm = the same call immediately afterwards, answered from Redis. Before Redis = measured earlier the same day, when no Redis process was running. A dash means that call was not in the earlier set.</t>
        </is>
      </c>
    </row>
    <row r="4" ht="30" customHeight="1">
      <c r="A4" s="4" t="inlineStr">
        <is>
          <t>Screen</t>
        </is>
      </c>
      <c r="B4" s="4" t="inlineStr">
        <is>
          <t>Method</t>
        </is>
      </c>
      <c r="C4" s="4" t="inlineStr">
        <is>
          <t>Path</t>
        </is>
      </c>
      <c r="D4" s="4" t="inlineStr">
        <is>
          <t>Used by</t>
        </is>
      </c>
      <c r="E4" s="4" t="inlineStr">
        <is>
          <t>Cached for</t>
        </is>
      </c>
      <c r="F4" s="4" t="inlineStr">
        <is>
          <t>Before Redis (ms)</t>
        </is>
      </c>
      <c r="G4" s="4" t="inlineStr">
        <is>
          <t>Cold, cache empty (ms)</t>
        </is>
      </c>
      <c r="H4" s="4" t="inlineStr">
        <is>
          <t>Warm, from Redis (ms)</t>
        </is>
      </c>
      <c r="I4" s="4" t="inlineStr">
        <is>
          <t>Faster than cold</t>
        </is>
      </c>
      <c r="J4" s="4" t="inlineStr">
        <is>
          <t>HTTP</t>
        </is>
      </c>
      <c r="K4" s="4" t="inlineStr">
        <is>
          <t>Response size</t>
        </is>
      </c>
      <c r="L4" s="4" t="inlineStr">
        <is>
          <t>Note</t>
        </is>
      </c>
    </row>
    <row r="5" ht="36" customHeight="1">
      <c r="A5" s="6" t="inlineStr">
        <is>
          <t>API health</t>
        </is>
      </c>
      <c r="B5" s="6" t="inlineStr">
        <is>
          <t>GET</t>
        </is>
      </c>
      <c r="C5" s="6" t="inlineStr">
        <is>
          <t>/health</t>
        </is>
      </c>
      <c r="D5" s="6" t="inlineStr">
        <is>
          <t>Load balancer, deploy</t>
        </is>
      </c>
      <c r="E5" s="6" t="inlineStr">
        <is>
          <t>Not cached</t>
        </is>
      </c>
      <c r="F5" s="6" t="inlineStr">
        <is>
          <t>—</t>
        </is>
      </c>
      <c r="G5" s="16" t="n">
        <v>11.2</v>
      </c>
      <c r="H5" s="16" t="n">
        <v>15.8</v>
      </c>
      <c r="I5" s="17">
        <f>IF(G5=0,"",(G5-H5)/G5)</f>
        <v/>
      </c>
      <c r="J5" s="6" t="n">
        <v>200</v>
      </c>
      <c r="K5" s="6" t="inlineStr">
        <is>
          <t>149 B</t>
        </is>
      </c>
      <c r="L5" s="6" t="inlineStr">
        <is>
          <t>Confirms the process is up. A small variation between calls is normal.</t>
        </is>
      </c>
    </row>
    <row r="6" ht="36" customHeight="1">
      <c r="A6" s="6" t="inlineStr">
        <is>
          <t>Detailed health</t>
        </is>
      </c>
      <c r="B6" s="6" t="inlineStr">
        <is>
          <t>GET</t>
        </is>
      </c>
      <c r="C6" s="6" t="inlineStr">
        <is>
          <t>/health/detailed</t>
        </is>
      </c>
      <c r="D6" s="6" t="inlineStr">
        <is>
          <t>Deploy gate</t>
        </is>
      </c>
      <c r="E6" s="6" t="inlineStr">
        <is>
          <t>Not cached</t>
        </is>
      </c>
      <c r="F6" s="6" t="inlineStr">
        <is>
          <t>—</t>
        </is>
      </c>
      <c r="G6" s="16" t="n">
        <v>208.1</v>
      </c>
      <c r="H6" s="16" t="n">
        <v>209.9</v>
      </c>
      <c r="I6" s="17">
        <f>IF(G6=0,"",(G6-H6)/G6)</f>
        <v/>
      </c>
      <c r="J6" s="6" t="n">
        <v>200</v>
      </c>
      <c r="K6" s="6" t="inlineStr">
        <is>
          <t>729 B</t>
        </is>
      </c>
      <c r="L6" s="6" t="inlineStr">
        <is>
          <t>Includes a database stats read plus a Redis ping. Redis ping itself was 2 ms. Status: healthy.</t>
        </is>
      </c>
    </row>
    <row r="7" ht="36" customHeight="1">
      <c r="A7" s="18" t="inlineStr">
        <is>
          <t>Readiness</t>
        </is>
      </c>
      <c r="B7" s="18" t="inlineStr">
        <is>
          <t>GET</t>
        </is>
      </c>
      <c r="C7" s="18" t="inlineStr">
        <is>
          <t>/health/ready</t>
        </is>
      </c>
      <c r="D7" s="18" t="inlineStr">
        <is>
          <t>Deploy and load balancer</t>
        </is>
      </c>
      <c r="E7" s="18" t="inlineStr">
        <is>
          <t>Not cached</t>
        </is>
      </c>
      <c r="F7" s="18" t="inlineStr">
        <is>
          <t>—</t>
        </is>
      </c>
      <c r="G7" s="19" t="n">
        <v>26.5</v>
      </c>
      <c r="H7" s="19" t="n">
        <v>16.1</v>
      </c>
      <c r="I7" s="20">
        <f>IF(G7=0,"",(G7-H7)/G7)</f>
        <v/>
      </c>
      <c r="J7" s="18" t="n">
        <v>200</v>
      </c>
      <c r="K7" s="18" t="inlineStr">
        <is>
          <t>136 B</t>
        </is>
      </c>
      <c r="L7" s="18" t="inlineStr">
        <is>
          <t>Returns 200 only when both the database and Redis answer.</t>
        </is>
      </c>
    </row>
    <row r="8" ht="36" customHeight="1">
      <c r="A8" s="12" t="inlineStr">
        <is>
          <t>Locale menu</t>
        </is>
      </c>
      <c r="B8" s="12" t="inlineStr">
        <is>
          <t>GET</t>
        </is>
      </c>
      <c r="C8" s="12" t="inlineStr">
        <is>
          <t>/api/v1/locales?limit=20</t>
        </is>
      </c>
      <c r="D8" s="12" t="inlineStr">
        <is>
          <t>Locale tab, first page</t>
        </is>
      </c>
      <c r="E8" s="12" t="inlineStr">
        <is>
          <t>2 minutes</t>
        </is>
      </c>
      <c r="F8" s="21" t="n">
        <v>441</v>
      </c>
      <c r="G8" s="22" t="n">
        <v>408</v>
      </c>
      <c r="H8" s="22" t="n">
        <v>20.7</v>
      </c>
      <c r="I8" s="14">
        <f>IF(G8=0,"",(G8-H8)/G8)</f>
        <v/>
      </c>
      <c r="J8" s="12" t="n">
        <v>200</v>
      </c>
      <c r="K8" s="12" t="inlineStr">
        <is>
          <t>42 KB</t>
        </is>
      </c>
      <c r="L8" s="12" t="inlineStr">
        <is>
          <t>Before Redis, repeats stayed at 415–464 ms. There was no cache.</t>
        </is>
      </c>
    </row>
    <row r="9" ht="36" customHeight="1">
      <c r="A9" s="12" t="inlineStr">
        <is>
          <t>Countries</t>
        </is>
      </c>
      <c r="B9" s="12" t="inlineStr">
        <is>
          <t>GET</t>
        </is>
      </c>
      <c r="C9" s="12" t="inlineStr">
        <is>
          <t>/api/v1/locales/countries</t>
        </is>
      </c>
      <c r="D9" s="12" t="inlineStr">
        <is>
          <t>Locale country filter</t>
        </is>
      </c>
      <c r="E9" s="12" t="inlineStr">
        <is>
          <t>30 minutes</t>
        </is>
      </c>
      <c r="F9" s="21" t="n">
        <v>206</v>
      </c>
      <c r="G9" s="22" t="n">
        <v>212.3</v>
      </c>
      <c r="H9" s="22" t="n">
        <v>21.4</v>
      </c>
      <c r="I9" s="14">
        <f>IF(G9=0,"",(G9-H9)/G9)</f>
        <v/>
      </c>
      <c r="J9" s="12" t="n">
        <v>200</v>
      </c>
      <c r="K9" s="12" t="inlineStr">
        <is>
          <t>519 B</t>
        </is>
      </c>
      <c r="L9" s="12" t="inlineStr">
        <is>
          <t>Before Redis, repeats stayed at 196–211 ms.</t>
        </is>
      </c>
    </row>
    <row r="10" ht="36" customHeight="1">
      <c r="A10" s="12" t="inlineStr">
        <is>
          <t>States</t>
        </is>
      </c>
      <c r="B10" s="12" t="inlineStr">
        <is>
          <t>GET</t>
        </is>
      </c>
      <c r="C10" s="12" t="inlineStr">
        <is>
          <t>/api/v1/locales/states?countryCode=IN</t>
        </is>
      </c>
      <c r="D10" s="12" t="inlineStr">
        <is>
          <t>Locale state filter</t>
        </is>
      </c>
      <c r="E10" s="12" t="inlineStr">
        <is>
          <t>30 minutes</t>
        </is>
      </c>
      <c r="F10" s="12" t="inlineStr">
        <is>
          <t>—</t>
        </is>
      </c>
      <c r="G10" s="22" t="n">
        <v>218.9</v>
      </c>
      <c r="H10" s="22" t="n">
        <v>13.4</v>
      </c>
      <c r="I10" s="14">
        <f>IF(G10=0,"",(G10-H10)/G10)</f>
        <v/>
      </c>
      <c r="J10" s="12" t="n">
        <v>200</v>
      </c>
      <c r="K10" s="12" t="inlineStr">
        <is>
          <t>1.5 KB</t>
        </is>
      </c>
      <c r="L10" s="12" t="inlineStr">
        <is>
          <t>One country. Other country codes get their own cache entry.</t>
        </is>
      </c>
    </row>
    <row r="11" ht="36" customHeight="1">
      <c r="A11" s="12" t="inlineStr">
        <is>
          <t>Spot types</t>
        </is>
      </c>
      <c r="B11" s="12" t="inlineStr">
        <is>
          <t>GET</t>
        </is>
      </c>
      <c r="C11" s="12" t="inlineStr">
        <is>
          <t>/api/v1/locales/spot-types</t>
        </is>
      </c>
      <c r="D11" s="12" t="inlineStr">
        <is>
          <t>Locale spot-type filter</t>
        </is>
      </c>
      <c r="E11" s="12" t="inlineStr">
        <is>
          <t>30 minutes</t>
        </is>
      </c>
      <c r="F11" s="12" t="inlineStr">
        <is>
          <t>—</t>
        </is>
      </c>
      <c r="G11" s="22" t="n">
        <v>212.1</v>
      </c>
      <c r="H11" s="22" t="n">
        <v>27.6</v>
      </c>
      <c r="I11" s="14">
        <f>IF(G11=0,"",(G11-H11)/G11)</f>
        <v/>
      </c>
      <c r="J11" s="12" t="n">
        <v>200</v>
      </c>
      <c r="K11" s="12" t="inlineStr">
        <is>
          <t>203 B</t>
        </is>
      </c>
      <c r="L11" s="12" t="inlineStr">
        <is>
          <t>Filter values. The filter behaviour itself was not changed.</t>
        </is>
      </c>
    </row>
    <row r="12" ht="36" customHeight="1">
      <c r="A12" s="12" t="inlineStr">
        <is>
          <t>Locale detail</t>
        </is>
      </c>
      <c r="B12" s="12" t="inlineStr">
        <is>
          <t>GET</t>
        </is>
      </c>
      <c r="C12" s="12" t="inlineStr">
        <is>
          <t>/api/v1/locales/{id}</t>
        </is>
      </c>
      <c r="D12" s="12" t="inlineStr">
        <is>
          <t>Opening one locale</t>
        </is>
      </c>
      <c r="E12" s="12" t="inlineStr">
        <is>
          <t>2 minutes</t>
        </is>
      </c>
      <c r="F12" s="12" t="inlineStr">
        <is>
          <t>—</t>
        </is>
      </c>
      <c r="G12" s="22" t="n">
        <v>218.1</v>
      </c>
      <c r="H12" s="22" t="n">
        <v>18.1</v>
      </c>
      <c r="I12" s="14">
        <f>IF(G12=0,"",(G12-H12)/G12)</f>
        <v/>
      </c>
      <c r="J12" s="12" t="n">
        <v>200</v>
      </c>
      <c r="K12" s="12" t="inlineStr">
        <is>
          <t>2.4 KB</t>
        </is>
      </c>
      <c r="L12" s="12" t="inlineStr">
        <is>
          <t>Timed with one live locale id. The id is not listed here.</t>
        </is>
      </c>
    </row>
    <row r="13" ht="36" customHeight="1">
      <c r="A13" s="12" t="inlineStr">
        <is>
          <t>Shorts, 5 videos</t>
        </is>
      </c>
      <c r="B13" s="12" t="inlineStr">
        <is>
          <t>GET</t>
        </is>
      </c>
      <c r="C13" s="12" t="inlineStr">
        <is>
          <t>/api/v1/shorts?limit=5</t>
        </is>
      </c>
      <c r="D13" s="12" t="inlineStr">
        <is>
          <t>Shorts tab</t>
        </is>
      </c>
      <c r="E13" s="12" t="inlineStr">
        <is>
          <t>Candidates 60 seconds</t>
        </is>
      </c>
      <c r="F13" s="21" t="n">
        <v>1627</v>
      </c>
      <c r="G13" s="22" t="n">
        <v>818</v>
      </c>
      <c r="H13" s="22" t="n">
        <v>211</v>
      </c>
      <c r="I13" s="14">
        <f>IF(G13=0,"",(G13-H13)/G13)</f>
        <v/>
      </c>
      <c r="J13" s="12" t="n">
        <v>200</v>
      </c>
      <c r="K13" s="12" t="inlineStr">
        <is>
          <t>19 KB</t>
        </is>
      </c>
      <c r="L13" s="12" t="inlineStr">
        <is>
          <t>Before Redis, three calls took 2.00 s, 2.04 s and 0.84 s. The average of those is the before figure.</t>
        </is>
      </c>
    </row>
    <row r="14" ht="36" customHeight="1">
      <c r="A14" s="12" t="inlineStr">
        <is>
          <t>Shorts, first page</t>
        </is>
      </c>
      <c r="B14" s="12" t="inlineStr">
        <is>
          <t>GET</t>
        </is>
      </c>
      <c r="C14" s="12" t="inlineStr">
        <is>
          <t>/api/v1/shorts?limit=10</t>
        </is>
      </c>
      <c r="D14" s="12" t="inlineStr">
        <is>
          <t>Shorts tab</t>
        </is>
      </c>
      <c r="E14" s="12" t="inlineStr">
        <is>
          <t>Candidates 60 seconds</t>
        </is>
      </c>
      <c r="F14" s="12" t="inlineStr">
        <is>
          <t>—</t>
        </is>
      </c>
      <c r="G14" s="22" t="n">
        <v>1161.6</v>
      </c>
      <c r="H14" s="22" t="n">
        <v>220.9</v>
      </c>
      <c r="I14" s="14">
        <f>IF(G14=0,"",(G14-H14)/G14)</f>
        <v/>
      </c>
      <c r="J14" s="12" t="n">
        <v>200</v>
      </c>
      <c r="K14" s="12" t="inlineStr">
        <is>
          <t>40 KB</t>
        </is>
      </c>
      <c r="L14" s="12" t="inlineStr">
        <is>
          <t>Measured on its own, after clearing the shorts cache. Still scored per viewer.</t>
        </is>
      </c>
    </row>
    <row r="15" ht="36" customHeight="1">
      <c r="A15" s="12" t="inlineStr">
        <is>
          <t>Home photo feed</t>
        </is>
      </c>
      <c r="B15" s="12" t="inlineStr">
        <is>
          <t>GET</t>
        </is>
      </c>
      <c r="C15" s="12" t="inlineStr">
        <is>
          <t>/api/v1/posts?page=1&amp;limit=20</t>
        </is>
      </c>
      <c r="D15" s="12" t="inlineStr">
        <is>
          <t>Home tab</t>
        </is>
      </c>
      <c r="E15" s="12" t="inlineStr">
        <is>
          <t>60 seconds</t>
        </is>
      </c>
      <c r="F15" s="12" t="inlineStr">
        <is>
          <t>—</t>
        </is>
      </c>
      <c r="G15" s="22" t="n">
        <v>906.6</v>
      </c>
      <c r="H15" s="22" t="n">
        <v>18.2</v>
      </c>
      <c r="I15" s="14">
        <f>IF(G15=0,"",(G15-H15)/G15)</f>
        <v/>
      </c>
      <c r="J15" s="12" t="n">
        <v>200</v>
      </c>
      <c r="K15" s="12" t="inlineStr">
        <is>
          <t>90 KB</t>
        </is>
      </c>
      <c r="L15" s="12" t="inlineStr">
        <is>
          <t>Largest drop. Signed image URLs are also reused.</t>
        </is>
      </c>
    </row>
    <row r="16" ht="36" customHeight="1">
      <c r="A16" s="12" t="inlineStr">
        <is>
          <t>Search</t>
        </is>
      </c>
      <c r="B16" s="12" t="inlineStr">
        <is>
          <t>GET</t>
        </is>
      </c>
      <c r="C16" s="12" t="inlineStr">
        <is>
          <t>/api/v1/search/posts?query=beach&amp;limit=10</t>
        </is>
      </c>
      <c r="D16" s="12" t="inlineStr">
        <is>
          <t>Search</t>
        </is>
      </c>
      <c r="E16" s="12" t="inlineStr">
        <is>
          <t>5 minutes</t>
        </is>
      </c>
      <c r="F16" s="12" t="inlineStr">
        <is>
          <t>—</t>
        </is>
      </c>
      <c r="G16" s="22" t="n">
        <v>417.9</v>
      </c>
      <c r="H16" s="22" t="n">
        <v>15.6</v>
      </c>
      <c r="I16" s="14">
        <f>IF(G16=0,"",(G16-H16)/G16)</f>
        <v/>
      </c>
      <c r="J16" s="12" t="n">
        <v>200</v>
      </c>
      <c r="K16" s="12" t="inlineStr">
        <is>
          <t>7.8 KB</t>
        </is>
      </c>
      <c r="L16" s="12" t="inlineStr">
        <is>
          <t>Same search text. A different word is a new cache entry.</t>
        </is>
      </c>
    </row>
    <row r="18" ht="22" customHeight="1">
      <c r="A18" s="11" t="inlineStr">
        <is>
          <t>Samples from before Redis existed (no cache process). These are why the before column is an average, not a single lucky call.</t>
        </is>
      </c>
    </row>
    <row r="19">
      <c r="A19" s="4" t="inlineStr">
        <is>
          <t>Call</t>
        </is>
      </c>
      <c r="B19" s="4" t="inlineStr">
        <is>
          <t>Sample 1 (ms)</t>
        </is>
      </c>
      <c r="C19" s="4" t="inlineStr">
        <is>
          <t>Sample 2 (ms)</t>
        </is>
      </c>
      <c r="D19" s="4" t="inlineStr">
        <is>
          <t>Sample 3 (ms)</t>
        </is>
      </c>
      <c r="E19" s="4" t="inlineStr">
        <is>
          <t>Average (ms)</t>
        </is>
      </c>
      <c r="F19" s="4" t="inlineStr">
        <is>
          <t>Did the repeat get faster?</t>
        </is>
      </c>
    </row>
    <row r="20" ht="28" customHeight="1">
      <c r="A20" s="23" t="inlineStr">
        <is>
          <t>Locale list, limit 20</t>
        </is>
      </c>
      <c r="B20" s="24" t="n">
        <v>445</v>
      </c>
      <c r="C20" s="24" t="n">
        <v>415</v>
      </c>
      <c r="D20" s="24" t="n">
        <v>464</v>
      </c>
      <c r="E20" s="24">
        <f>AVERAGE(B20:D20)</f>
        <v/>
      </c>
      <c r="F20" s="23" t="inlineStr">
        <is>
          <t>No. All three stayed around 0.4 seconds.</t>
        </is>
      </c>
    </row>
    <row r="21" ht="28" customHeight="1">
      <c r="A21" s="23" t="inlineStr">
        <is>
          <t>Countries</t>
        </is>
      </c>
      <c r="B21" s="24" t="n">
        <v>211</v>
      </c>
      <c r="C21" s="24" t="n">
        <v>196</v>
      </c>
      <c r="D21" s="24" t="n">
        <v>211</v>
      </c>
      <c r="E21" s="24">
        <f>AVERAGE(B21:D21)</f>
        <v/>
      </c>
      <c r="F21" s="23" t="inlineStr">
        <is>
          <t>No. The second and third calls were the same speed.</t>
        </is>
      </c>
    </row>
    <row r="22" ht="28" customHeight="1">
      <c r="A22" s="23" t="inlineStr">
        <is>
          <t>Shorts, limit 5</t>
        </is>
      </c>
      <c r="B22" s="24" t="n">
        <v>2001</v>
      </c>
      <c r="C22" s="24" t="n">
        <v>2045</v>
      </c>
      <c r="D22" s="24" t="n">
        <v>835</v>
      </c>
      <c r="E22" s="24">
        <f>AVERAGE(B22:D22)</f>
        <v/>
      </c>
      <c r="F22" s="23" t="inlineStr">
        <is>
          <t>Only partly. The third call was still 0.84 seconds, with no application cache.</t>
        </is>
      </c>
    </row>
  </sheetData>
  <autoFilter ref="A4:L16"/>
  <mergeCells count="3">
    <mergeCell ref="A2:L2"/>
    <mergeCell ref="A1:L1"/>
    <mergeCell ref="A18:L18"/>
  </mergeCells>
  <pageMargins left="0.5" right="0.5" top="0.7" bottom="0.6" header="0.3" footer="0.3"/>
  <pageSetup orientation="landscape" paperSize="9" fitToHeight="1" fitToWidth="1"/>
  <headerFooter>
    <oddHeader>&amp;LTaatom  |  Response times</oddHeader>
    <oddFooter>&amp;L11 October 2026  |  Production API&amp;RPage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F6E6B"/>
    <outlinePr summaryBelow="1" summaryRight="1"/>
    <pageSetUpPr fitToPage="1"/>
  </sheetPr>
  <dimension ref="A1:F17"/>
  <sheetViews>
    <sheetView showGridLines="0" zoomScale="110" workbookViewId="0">
      <pane ySplit="4" topLeftCell="A5" activePane="bottomLeft" state="frozen"/>
      <selection pane="bottomLeft" activeCell="A1" sqref="A1"/>
    </sheetView>
  </sheetViews>
  <sheetFormatPr baseColWidth="8" defaultRowHeight="15"/>
  <cols>
    <col width="28" customWidth="1" min="1" max="1"/>
    <col width="36" customWidth="1" min="2" max="2"/>
    <col width="42" customWidth="1" min="3" max="3"/>
    <col width="16" customWidth="1" min="4" max="4"/>
    <col width="52" customWidth="1" min="5" max="5"/>
    <col width="48" customWidth="1" min="6" max="6"/>
  </cols>
  <sheetData>
    <row r="1">
      <c r="A1" s="2" t="inlineStr">
        <is>
          <t>Deploy health gate</t>
        </is>
      </c>
    </row>
    <row r="2">
      <c r="A2" s="25" t="inlineStr">
        <is>
          <t>Checked on the production API immediately after the Redis health patch, 11 October 2026.</t>
        </is>
      </c>
    </row>
    <row r="4" ht="22" customHeight="1">
      <c r="A4" s="4" t="inlineStr">
        <is>
          <t>Check</t>
        </is>
      </c>
      <c r="B4" s="4" t="inlineStr">
        <is>
          <t>Path</t>
        </is>
      </c>
      <c r="C4" s="4" t="inlineStr">
        <is>
          <t>Result today</t>
        </is>
      </c>
      <c r="D4" s="4" t="inlineStr">
        <is>
          <t>Time</t>
        </is>
      </c>
      <c r="E4" s="4" t="inlineStr">
        <is>
          <t>Pass rule</t>
        </is>
      </c>
      <c r="F4" s="4" t="inlineStr">
        <is>
          <t>If it fails</t>
        </is>
      </c>
    </row>
    <row r="5" ht="36" customHeight="1">
      <c r="A5" s="12" t="inlineStr">
        <is>
          <t>Process</t>
        </is>
      </c>
      <c r="B5" s="12" t="inlineStr">
        <is>
          <t>GET /health</t>
        </is>
      </c>
      <c r="C5" s="12" t="inlineStr">
        <is>
          <t>200, status ok</t>
        </is>
      </c>
      <c r="D5" s="12" t="inlineStr">
        <is>
          <t>11–16 ms</t>
        </is>
      </c>
      <c r="E5" s="12" t="inlineStr">
        <is>
          <t>HTTP 200</t>
        </is>
      </c>
      <c r="F5" s="12" t="inlineStr">
        <is>
          <t>Deploy rolls back to the previous image.</t>
        </is>
      </c>
    </row>
    <row r="6" ht="36" customHeight="1">
      <c r="A6" s="12" t="inlineStr">
        <is>
          <t>Dependencies</t>
        </is>
      </c>
      <c r="B6" s="12" t="inlineStr">
        <is>
          <t>GET /health/detailed</t>
        </is>
      </c>
      <c r="C6" s="12" t="inlineStr">
        <is>
          <t>200, Redis healthy, ping 2 ms</t>
        </is>
      </c>
      <c r="D6" s="12" t="inlineStr">
        <is>
          <t>209 ms</t>
        </is>
      </c>
      <c r="E6" s="12" t="inlineStr">
        <is>
          <t>HTTP 200 and services.redis.status = healthy</t>
        </is>
      </c>
      <c r="F6" s="12" t="inlineStr">
        <is>
          <t>Deploy rolls back. The API is not left running without Redis.</t>
        </is>
      </c>
    </row>
    <row r="7" ht="36" customHeight="1">
      <c r="A7" s="12" t="inlineStr">
        <is>
          <t>Ready for traffic</t>
        </is>
      </c>
      <c r="B7" s="12" t="inlineStr">
        <is>
          <t>GET /health/ready</t>
        </is>
      </c>
      <c r="C7" s="12" t="inlineStr">
        <is>
          <t>200, database ready, Redis ready</t>
        </is>
      </c>
      <c r="D7" s="12" t="inlineStr">
        <is>
          <t>16 ms</t>
        </is>
      </c>
      <c r="E7" s="12" t="inlineStr">
        <is>
          <t>HTTP 200</t>
        </is>
      </c>
      <c r="F7" s="12" t="inlineStr">
        <is>
          <t>Callers should not send traffic yet.</t>
        </is>
      </c>
    </row>
    <row r="8" ht="36" customHeight="1">
      <c r="A8" s="12" t="inlineStr">
        <is>
          <t>Redis container</t>
        </is>
      </c>
      <c r="B8" s="12" t="inlineStr">
        <is>
          <t>Docker service taatom-redis</t>
        </is>
      </c>
      <c r="C8" s="12" t="inlineStr">
        <is>
          <t>Healthy</t>
        </is>
      </c>
      <c r="D8" s="12" t="inlineStr">
        <is>
          <t>—</t>
        </is>
      </c>
      <c r="E8" s="12" t="inlineStr">
        <is>
          <t>Container healthy, port 6379 not published on the host</t>
        </is>
      </c>
      <c r="F8" s="12" t="inlineStr">
        <is>
          <t>API cache falls back only if the client cannot connect. The new deploy gate treats that as a failed deploy.</t>
        </is>
      </c>
    </row>
    <row r="10">
      <c r="A10" s="11" t="inlineStr">
        <is>
          <t>What the GitHub deploy job does now</t>
        </is>
      </c>
    </row>
    <row r="11" ht="22" customHeight="1">
      <c r="A11" s="6" t="inlineStr">
        <is>
          <t>1. Push to main that touches backend/ or the deploy workflow starts Deploy Backend (EC2). It can also be run by hand.</t>
        </is>
      </c>
      <c r="B11" s="26" t="n"/>
      <c r="C11" s="26" t="n"/>
      <c r="D11" s="26" t="n"/>
      <c r="E11" s="26" t="n"/>
      <c r="F11" s="26" t="n"/>
    </row>
    <row r="12" ht="22" customHeight="1">
      <c r="A12" s="9" t="inlineStr">
        <is>
          <t>2. The job builds the API image and runs docker compose up. That starts Redis and the API on the private Docker network.</t>
        </is>
      </c>
      <c r="B12" s="27" t="n"/>
      <c r="C12" s="27" t="n"/>
      <c r="D12" s="27" t="n"/>
      <c r="E12" s="27" t="n"/>
      <c r="F12" s="27" t="n"/>
    </row>
    <row r="13" ht="22" customHeight="1">
      <c r="A13" s="6" t="inlineStr">
        <is>
          <t>3. It waits until GET /health returns 200, up to 30 tries.</t>
        </is>
      </c>
      <c r="B13" s="26" t="n"/>
      <c r="C13" s="26" t="n"/>
      <c r="D13" s="26" t="n"/>
      <c r="E13" s="26" t="n"/>
      <c r="F13" s="26" t="n"/>
    </row>
    <row r="14" ht="22" customHeight="1">
      <c r="A14" s="9" t="inlineStr">
        <is>
          <t>4. It then waits until GET /health/detailed reports Redis status healthy, up to 12 tries.</t>
        </is>
      </c>
      <c r="B14" s="27" t="n"/>
      <c r="C14" s="27" t="n"/>
      <c r="D14" s="27" t="n"/>
      <c r="E14" s="27" t="n"/>
      <c r="F14" s="27" t="n"/>
    </row>
    <row r="15" ht="22" customHeight="1">
      <c r="A15" s="6" t="inlineStr">
        <is>
          <t>5. If either check fails, it retags the previous image and starts that again, then marks the workflow failed.</t>
        </is>
      </c>
      <c r="B15" s="26" t="n"/>
      <c r="C15" s="26" t="n"/>
      <c r="D15" s="26" t="n"/>
      <c r="E15" s="26" t="n"/>
      <c r="F15" s="26" t="n"/>
    </row>
    <row r="17" ht="32" customHeight="1">
      <c r="A17" s="15" t="inlineStr">
        <is>
          <t>The workflow file in the repository is updated. It takes effect on the next deploy from main. Today’s live server was patched in place and the health check above was run against that patch.</t>
        </is>
      </c>
    </row>
  </sheetData>
  <mergeCells count="9">
    <mergeCell ref="A2:F2"/>
    <mergeCell ref="A11:F11"/>
    <mergeCell ref="A10:F10"/>
    <mergeCell ref="A13:F13"/>
    <mergeCell ref="A14:F14"/>
    <mergeCell ref="A1:F1"/>
    <mergeCell ref="A17:F17"/>
    <mergeCell ref="A12:F12"/>
    <mergeCell ref="A15:F15"/>
  </mergeCells>
  <pageMargins left="0.5" right="0.5" top="0.7" bottom="0.6" header="0.3" footer="0.3"/>
  <pageSetup orientation="landscape" paperSize="9" fitToHeight="1" fitToWidth="1"/>
  <headerFooter>
    <oddHeader>&amp;LTaatom  |  Health check</oddHeader>
    <oddFooter>&amp;L11 October 2026&amp;RPage &amp;P</oddFooter>
    <evenHeader/>
    <evenFooter/>
    <firstHeader/>
    <firstFooter/>
  </headerFooter>
</worksheet>
</file>

<file path=xl/worksheets/sheet4.xml><?xml version="1.0" encoding="utf-8"?>
<worksheet xmlns="http://schemas.openxmlformats.org/spreadsheetml/2006/main">
  <sheetPr>
    <tabColor rgb="000F6E6B"/>
    <outlinePr summaryBelow="1" summaryRight="1"/>
    <pageSetUpPr fitToPage="1"/>
  </sheetPr>
  <dimension ref="A1:D13"/>
  <sheetViews>
    <sheetView showGridLines="0" zoomScale="110" workbookViewId="0">
      <pane ySplit="4" topLeftCell="A5" activePane="bottomLeft" state="frozen"/>
      <selection pane="bottomLeft" activeCell="A1" sqref="A1"/>
    </sheetView>
  </sheetViews>
  <sheetFormatPr baseColWidth="8" defaultRowHeight="15"/>
  <cols>
    <col width="24" customWidth="1" min="1" max="1"/>
    <col width="62" customWidth="1" min="2" max="2"/>
    <col width="62" customWidth="1" min="3" max="3"/>
    <col width="22" customWidth="1" min="4" max="4"/>
  </cols>
  <sheetData>
    <row r="1">
      <c r="A1" s="2" t="inlineStr">
        <is>
          <t>What this does and does not change</t>
        </is>
      </c>
    </row>
    <row r="2">
      <c r="A2" s="25" t="inlineStr">
        <is>
          <t>For the board: Redis speeds up repeated reads. It does not change product rules.</t>
        </is>
      </c>
    </row>
    <row r="4">
      <c r="A4" s="4" t="inlineStr">
        <is>
          <t>Topic</t>
        </is>
      </c>
      <c r="B4" s="4" t="inlineStr">
        <is>
          <t>Kept the same</t>
        </is>
      </c>
      <c r="C4" s="4" t="inlineStr">
        <is>
          <t>Now cached</t>
        </is>
      </c>
      <c r="D4" s="4" t="inlineStr">
        <is>
          <t>How long</t>
        </is>
      </c>
    </row>
    <row r="5" ht="32" customHeight="1">
      <c r="A5" s="6" t="inlineStr">
        <is>
          <t>Locale filter</t>
        </is>
      </c>
      <c r="B5" s="6" t="inlineStr">
        <is>
          <t>Filter rules were not changed.</t>
        </is>
      </c>
      <c r="C5" s="6" t="inlineStr">
        <is>
          <t>The lists those filters read.</t>
        </is>
      </c>
      <c r="D5" s="6" t="inlineStr">
        <is>
          <t>2–30 minutes</t>
        </is>
      </c>
    </row>
    <row r="6" ht="32" customHeight="1">
      <c r="A6" s="9" t="inlineStr">
        <is>
          <t>Shorts order</t>
        </is>
      </c>
      <c r="B6" s="9" t="inlineStr">
        <is>
          <t>Each viewer still skips videos they have seen, plus blocked accounts.</t>
        </is>
      </c>
      <c r="C6" s="9" t="inlineStr">
        <is>
          <t>The shared pool of recent shorts, then the viewer filter runs.</t>
        </is>
      </c>
      <c r="D6" s="9" t="inlineStr">
        <is>
          <t>60 seconds</t>
        </is>
      </c>
    </row>
    <row r="7" ht="32" customHeight="1">
      <c r="A7" s="6" t="inlineStr">
        <is>
          <t>Likes and follows</t>
        </is>
      </c>
      <c r="B7" s="6" t="inlineStr">
        <is>
          <t>Still read for the signed-in viewer.</t>
        </is>
      </c>
      <c r="C7" s="6" t="inlineStr">
        <is>
          <t>Not cached across people.</t>
        </is>
      </c>
      <c r="D7" s="6" t="inlineStr">
        <is>
          <t>—</t>
        </is>
      </c>
    </row>
    <row r="8" ht="32" customHeight="1">
      <c r="A8" s="9" t="inlineStr">
        <is>
          <t>Home feed</t>
        </is>
      </c>
      <c r="B8" s="9" t="inlineStr">
        <is>
          <t>Same photos and order for that viewer.</t>
        </is>
      </c>
      <c r="C8" s="9" t="inlineStr">
        <is>
          <t>The built first page.</t>
        </is>
      </c>
      <c r="D8" s="9" t="inlineStr">
        <is>
          <t>60 seconds</t>
        </is>
      </c>
    </row>
    <row r="9" ht="32" customHeight="1">
      <c r="A9" s="6" t="inlineStr">
        <is>
          <t>Media links</t>
        </is>
      </c>
      <c r="B9" s="6" t="inlineStr">
        <is>
          <t>Links still expire. They are not stored in the database.</t>
        </is>
      </c>
      <c r="C9" s="6" t="inlineStr">
        <is>
          <t>The signed URL, for one third of its lifetime.</t>
        </is>
      </c>
      <c r="D9" s="6" t="inlineStr">
        <is>
          <t>About 30–300 seconds</t>
        </is>
      </c>
    </row>
    <row r="10" ht="32" customHeight="1">
      <c r="A10" s="9" t="inlineStr">
        <is>
          <t>Locale edits</t>
        </is>
      </c>
      <c r="B10" s="9" t="inlineStr">
        <is>
          <t>Create, update, and delete still write to the database.</t>
        </is>
      </c>
      <c r="C10" s="9" t="inlineStr">
        <is>
          <t>Those writes clear the locale cache immediately.</t>
        </is>
      </c>
      <c r="D10" s="9" t="inlineStr">
        <is>
          <t>Immediate clear</t>
        </is>
      </c>
    </row>
    <row r="11" ht="32" customHeight="1">
      <c r="A11" s="6" t="inlineStr">
        <is>
          <t>Background job queues</t>
        </is>
      </c>
      <c r="B11" s="6" t="inlineStr">
        <is>
          <t>Email, image, and analytics queues stay switched off. That was already the case.</t>
        </is>
      </c>
      <c r="C11" s="6" t="inlineStr">
        <is>
          <t>Not part of this cache.</t>
        </is>
      </c>
      <c r="D11" s="6" t="inlineStr">
        <is>
          <t>—</t>
        </is>
      </c>
    </row>
    <row r="13" ht="36" customHeight="1">
      <c r="A13" s="15" t="inlineStr">
        <is>
          <t>A first request after the cache expires is still the slow number in the Cold column. The fast number is the next request inside the cache window. Phone timings will be higher than these figures by the network time between the device and the API.</t>
        </is>
      </c>
    </row>
  </sheetData>
  <mergeCells count="3">
    <mergeCell ref="A1:D1"/>
    <mergeCell ref="A13:D13"/>
    <mergeCell ref="A2:D2"/>
  </mergeCells>
  <pageMargins left="0.5" right="0.5" top="0.7" bottom="0.6" header="0.3" footer="0.3"/>
  <pageSetup orientation="landscape" paperSize="9" fitToHeight="1" fitToWidth="1"/>
  <headerFooter>
    <oddHeader>&amp;LTaatom  |  Scope</oddHeader>
    <oddFooter>&amp;L11 October 2026&amp;RPage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2026-10-11T12:31:13Z</dcterms:created>
  <dcterms:modified xsi:type="dcterms:W3CDTF">2026-10-11T12:31:13Z</dcterms:modified>
</cp:coreProperties>
</file>